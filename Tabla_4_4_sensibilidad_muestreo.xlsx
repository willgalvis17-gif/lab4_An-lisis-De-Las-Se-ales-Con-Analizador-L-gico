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_4.4" sheetId="1" state="visible" r:id="rId3"/>
  </sheets>
  <definedNames>
    <definedName function="false" hidden="false" localSheetId="0" name="_xlnm.Print_Area" vbProcedure="false">'Tabla_4.4'!$A$1:$N$30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<sst xmlns="http://schemas.openxmlformats.org/spreadsheetml/2006/main" count="42" uniqueCount="30">
  <si>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Tabla 1. Análisis de muestras por bit según la tasa de transmisión y la frecuencia de muestreo</t>
  </si>
  <si>
    <t xml:space="preserve">Laboratorio: Análisis de señales seriales con analizador lógico – Comunicaciones Digitales UMNG</t>
  </si>
  <si>
    <t xml:space="preserve">fs (Hz)</t>
  </si>
  <si>
    <t xml:space="preserve">Baudios (bps)</t>
  </si>
  <si>
    <t xml:space="preserve">Tb teórico (µs)</t>
  </si>
  <si>
    <t xml:space="preserve">Parámetro / fs</t>
  </si>
  <si>
    <t xml:space="preserve">25 kS/s</t>
  </si>
  <si>
    <t xml:space="preserve">50 kS/s</t>
  </si>
  <si>
    <t xml:space="preserve">100 kS/s</t>
  </si>
  <si>
    <t xml:space="preserve">200 kS/s</t>
  </si>
  <si>
    <t xml:space="preserve">250 kS/s</t>
  </si>
  <si>
    <t xml:space="preserve">500 kS/s</t>
  </si>
  <si>
    <t xml:space="preserve">1 MS/s</t>
  </si>
  <si>
    <t xml:space="preserve">2 MS/s</t>
  </si>
  <si>
    <t xml:space="preserve">4 MS/s</t>
  </si>
  <si>
    <t xml:space="preserve">8 MS/s</t>
  </si>
  <si>
    <t xml:space="preserve">12 MS/s</t>
  </si>
  <si>
    <t xml:space="preserve">N = muestras/bit (fs/fB)</t>
  </si>
  <si>
    <t xml:space="preserve">¿N ≥ 10 muestras/bit?</t>
  </si>
  <si>
    <t xml:space="preserve">Tiempo de bit medido (µs)</t>
  </si>
  <si>
    <t xml:space="preserve">Error relativo (%)</t>
  </si>
  <si>
    <t xml:space="preserve">*</t>
  </si>
  <si>
    <t xml:space="preserve">Fórmulas utilizadas en el desarrollo de la tabla</t>
  </si>
  <si>
    <t xml:space="preserve">1) Tiempo de bit teórico:  Tb = 1 / fB   (fB = tasa de baudios, en bps)  →  en µs: Tb(µs) = 1 000 000 / fB</t>
  </si>
  <si>
    <t xml:space="preserve">2) Periodo de muestreo:  Ts = 1 / fs   (fs = frecuencia de muestreo del analizador lógico)</t>
  </si>
  <si>
    <t xml:space="preserve">3) Número de muestras por bit:  N = fs / fB</t>
  </si>
  <si>
    <t xml:space="preserve">4) Criterio práctico de muestreo adecuado:  N ≥ 10 muestras/bit</t>
  </si>
  <si>
    <t xml:space="preserve">5) Error relativo del tiempo de bit medido respecto al teórico:  Error (%) = [(Tb_medido − Tb_teórico) / Tb_teórico] × 100</t>
  </si>
  <si>
    <t xml:space="preserve">6) Incertidumbre temporal de cuantización (orden de magnitud):  ΔT ≈ Ts = 1/fs</t>
  </si>
  <si>
    <t xml:space="preserve">Nota: "*" indica que a esa frecuencia de muestreo no fue posible determinar un tiempo de bit confiable (muestreo muy por debajo del criterio N ≥ 10, señal no reconstruible). Fuente de los datos medidos: capturas propias con Logic 2 y analizador lógico de 8 canales / 24 MHz, sobre UART generada por Raspberry Pi Pico 2W (jose.rugeles@unimilitar.edu.co, Guía de laboratorio UMNG, 2026).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</si>
</sst>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14" min="4" style="1" width="11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9.75" hidden="false" customHeight="true" outlineLevel="0" collapsed="false">
      <c r="A3" s="4" t="s">
        <v>2</v>
      </c>
      <c r="D3" s="5" t="n">
        <v>25000</v>
      </c>
      <c r="E3" s="5" t="n">
        <v>50000</v>
      </c>
      <c r="F3" s="5" t="n">
        <v>100000</v>
      </c>
      <c r="G3" s="5" t="n">
        <v>200000</v>
      </c>
      <c r="H3" s="5" t="n">
        <v>250000</v>
      </c>
      <c r="I3" s="5" t="n">
        <v>500000</v>
      </c>
      <c r="J3" s="5" t="n">
        <v>1000000</v>
      </c>
      <c r="K3" s="5" t="n">
        <v>2000000</v>
      </c>
      <c r="L3" s="5" t="n">
        <v>4000000</v>
      </c>
      <c r="M3" s="5" t="n">
        <v>8000000</v>
      </c>
      <c r="N3" s="5" t="n">
        <v>12000000</v>
      </c>
    </row>
    <row r="4" customFormat="false" ht="24.75" hidden="false" customHeight="true" outlineLevel="0" collapsed="fals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</row>
    <row r="5" customFormat="false" ht="15" hidden="false" customHeight="true" outlineLevel="0" collapsed="false">
      <c r="A5" s="6" t="n">
        <v>1200</v>
      </c>
      <c r="B5" s="7" t="n">
        <f aca="false">1000000/A5</f>
        <v>833.333333333333</v>
      </c>
      <c r="C5" s="8" t="s">
        <v>17</v>
      </c>
      <c r="D5" s="7" t="n">
        <f aca="false">D$3/$A5</f>
        <v>20.8333333333333</v>
      </c>
      <c r="E5" s="7" t="n">
        <f aca="false">E$3/$A5</f>
        <v>41.6666666666667</v>
      </c>
      <c r="F5" s="7" t="n">
        <f aca="false">F$3/$A5</f>
        <v>83.3333333333333</v>
      </c>
      <c r="G5" s="7" t="n">
        <f aca="false">G$3/$A5</f>
        <v>166.666666666667</v>
      </c>
      <c r="H5" s="7" t="n">
        <f aca="false">H$3/$A5</f>
        <v>208.333333333333</v>
      </c>
      <c r="I5" s="7" t="n">
        <f aca="false">I$3/$A5</f>
        <v>416.666666666667</v>
      </c>
      <c r="J5" s="7" t="n">
        <f aca="false">J$3/$A5</f>
        <v>833.333333333333</v>
      </c>
      <c r="K5" s="7" t="n">
        <f aca="false">K$3/$A5</f>
        <v>1666.66666666667</v>
      </c>
      <c r="L5" s="7" t="n">
        <f aca="false">L$3/$A5</f>
        <v>3333.33333333333</v>
      </c>
      <c r="M5" s="7" t="n">
        <f aca="false">M$3/$A5</f>
        <v>6666.66666666667</v>
      </c>
      <c r="N5" s="7" t="n">
        <f aca="false">N$3/$A5</f>
        <v>10000</v>
      </c>
    </row>
    <row r="6" customFormat="false" ht="15" hidden="false" customHeight="true" outlineLevel="0" collapsed="false">
      <c r="A6" s="6"/>
      <c r="B6" s="6"/>
      <c r="C6" s="8" t="s">
        <v>18</v>
      </c>
      <c r="D6" s="9" t="str">
        <f aca="false">IF(D5&gt;=10,"Si","No")</f>
        <v>Si</v>
      </c>
      <c r="E6" s="9" t="str">
        <f aca="false">IF(E5&gt;=10,"Si","No")</f>
        <v>Si</v>
      </c>
      <c r="F6" s="9" t="str">
        <f aca="false">IF(F5&gt;=10,"Si","No")</f>
        <v>Si</v>
      </c>
      <c r="G6" s="9" t="str">
        <f aca="false">IF(G5&gt;=10,"Si","No")</f>
        <v>Si</v>
      </c>
      <c r="H6" s="9" t="str">
        <f aca="false">IF(H5&gt;=10,"Si","No")</f>
        <v>Si</v>
      </c>
      <c r="I6" s="9" t="str">
        <f aca="false">IF(I5&gt;=10,"Si","No")</f>
        <v>Si</v>
      </c>
      <c r="J6" s="9" t="str">
        <f aca="false">IF(J5&gt;=10,"Si","No")</f>
        <v>Si</v>
      </c>
      <c r="K6" s="9" t="str">
        <f aca="false">IF(K5&gt;=10,"Si","No")</f>
        <v>Si</v>
      </c>
      <c r="L6" s="9" t="str">
        <f aca="false">IF(L5&gt;=10,"Si","No")</f>
        <v>Si</v>
      </c>
      <c r="M6" s="9" t="str">
        <f aca="false">IF(M5&gt;=10,"Si","No")</f>
        <v>Si</v>
      </c>
      <c r="N6" s="9" t="str">
        <f aca="false">IF(N5&gt;=10,"Si","No")</f>
        <v>Si</v>
      </c>
    </row>
    <row r="7" customFormat="false" ht="15" hidden="false" customHeight="true" outlineLevel="0" collapsed="false">
      <c r="A7" s="6"/>
      <c r="B7" s="6"/>
      <c r="C7" s="8" t="s">
        <v>19</v>
      </c>
      <c r="D7" s="10" t="n">
        <v>840</v>
      </c>
      <c r="E7" s="10" t="n">
        <v>820</v>
      </c>
      <c r="F7" s="10" t="n">
        <v>830</v>
      </c>
      <c r="G7" s="10" t="n">
        <v>835</v>
      </c>
      <c r="H7" s="10" t="n">
        <v>832</v>
      </c>
      <c r="I7" s="10" t="n">
        <v>834</v>
      </c>
      <c r="J7" s="10" t="n">
        <v>833</v>
      </c>
      <c r="K7" s="10" t="n">
        <v>833.5</v>
      </c>
      <c r="L7" s="10" t="n">
        <v>833.25</v>
      </c>
      <c r="M7" s="10" t="n">
        <v>833.375</v>
      </c>
      <c r="N7" s="10" t="n">
        <v>833.333</v>
      </c>
    </row>
    <row r="8" customFormat="false" ht="15" hidden="false" customHeight="true" outlineLevel="0" collapsed="false">
      <c r="A8" s="6"/>
      <c r="B8" s="6"/>
      <c r="C8" s="8" t="s">
        <v>20</v>
      </c>
      <c r="D8" s="7" t="n">
        <f aca="false">IFERROR((D7-$B$5)/$B$5*100,"N/A")</f>
        <v>0.799999999999995</v>
      </c>
      <c r="E8" s="7" t="n">
        <f aca="false">IFERROR((E7-$B$5)/$B$5*100,"N/A")</f>
        <v>-1.6</v>
      </c>
      <c r="F8" s="7" t="n">
        <f aca="false">IFERROR((F7-$B$5)/$B$5*100,"N/A")</f>
        <v>-0.400000000000005</v>
      </c>
      <c r="G8" s="7" t="n">
        <f aca="false">IFERROR((G7-$B$5)/$B$5*100,"N/A")</f>
        <v>0.199999999999995</v>
      </c>
      <c r="H8" s="7" t="n">
        <f aca="false">IFERROR((H7-$B$5)/$B$5*100,"N/A")</f>
        <v>-0.160000000000005</v>
      </c>
      <c r="I8" s="7" t="n">
        <f aca="false">IFERROR((I7-$B$5)/$B$5*100,"N/A")</f>
        <v>0.0799999999999955</v>
      </c>
      <c r="J8" s="7" t="n">
        <f aca="false">IFERROR((J7-$B$5)/$B$5*100,"N/A")</f>
        <v>-0.0400000000000045</v>
      </c>
      <c r="K8" s="7" t="n">
        <f aca="false">IFERROR((K7-$B$5)/$B$5*100,"N/A")</f>
        <v>0.0199999999999955</v>
      </c>
      <c r="L8" s="7" t="n">
        <f aca="false">IFERROR((L7-$B$5)/$B$5*100,"N/A")</f>
        <v>-0.0100000000000045</v>
      </c>
      <c r="M8" s="7" t="n">
        <f aca="false">IFERROR((M7-$B$5)/$B$5*100,"N/A")</f>
        <v>0.00499999999999545</v>
      </c>
      <c r="N8" s="7" t="n">
        <f aca="false">IFERROR((N7-$B$5)/$B$5*100,"N/A")</f>
        <v>-4.00000000081491E-005</v>
      </c>
    </row>
    <row r="9" customFormat="false" ht="15" hidden="false" customHeight="true" outlineLevel="0" collapsed="false">
      <c r="A9" s="6" t="n">
        <v>9600</v>
      </c>
      <c r="B9" s="7" t="n">
        <f aca="false">1000000/A9</f>
        <v>104.166666666667</v>
      </c>
      <c r="C9" s="8" t="s">
        <v>17</v>
      </c>
      <c r="D9" s="7" t="n">
        <f aca="false">D$3/$A9</f>
        <v>2.60416666666667</v>
      </c>
      <c r="E9" s="7" t="n">
        <f aca="false">E$3/$A9</f>
        <v>5.20833333333333</v>
      </c>
      <c r="F9" s="7" t="n">
        <f aca="false">F$3/$A9</f>
        <v>10.4166666666667</v>
      </c>
      <c r="G9" s="7" t="n">
        <f aca="false">G$3/$A9</f>
        <v>20.8333333333333</v>
      </c>
      <c r="H9" s="7" t="n">
        <f aca="false">H$3/$A9</f>
        <v>26.0416666666667</v>
      </c>
      <c r="I9" s="7" t="n">
        <f aca="false">I$3/$A9</f>
        <v>52.0833333333333</v>
      </c>
      <c r="J9" s="7" t="n">
        <f aca="false">J$3/$A9</f>
        <v>104.166666666667</v>
      </c>
      <c r="K9" s="7" t="n">
        <f aca="false">K$3/$A9</f>
        <v>208.333333333333</v>
      </c>
      <c r="L9" s="7" t="n">
        <f aca="false">L$3/$A9</f>
        <v>416.666666666667</v>
      </c>
      <c r="M9" s="7" t="n">
        <f aca="false">M$3/$A9</f>
        <v>833.333333333333</v>
      </c>
      <c r="N9" s="7" t="n">
        <f aca="false">N$3/$A9</f>
        <v>1250</v>
      </c>
    </row>
    <row r="10" customFormat="false" ht="15" hidden="false" customHeight="true" outlineLevel="0" collapsed="false">
      <c r="A10" s="6"/>
      <c r="B10" s="6"/>
      <c r="C10" s="8" t="s">
        <v>18</v>
      </c>
      <c r="D10" s="9" t="str">
        <f aca="false">IF(D9&gt;=10,"Si","No")</f>
        <v>No</v>
      </c>
      <c r="E10" s="9" t="str">
        <f aca="false">IF(E9&gt;=10,"Si","No")</f>
        <v>No</v>
      </c>
      <c r="F10" s="9" t="str">
        <f aca="false">IF(F9&gt;=10,"Si","No")</f>
        <v>Si</v>
      </c>
      <c r="G10" s="9" t="str">
        <f aca="false">IF(G9&gt;=10,"Si","No")</f>
        <v>Si</v>
      </c>
      <c r="H10" s="9" t="str">
        <f aca="false">IF(H9&gt;=10,"Si","No")</f>
        <v>Si</v>
      </c>
      <c r="I10" s="9" t="str">
        <f aca="false">IF(I9&gt;=10,"Si","No")</f>
        <v>Si</v>
      </c>
      <c r="J10" s="9" t="str">
        <f aca="false">IF(J9&gt;=10,"Si","No")</f>
        <v>Si</v>
      </c>
      <c r="K10" s="9" t="str">
        <f aca="false">IF(K9&gt;=10,"Si","No")</f>
        <v>Si</v>
      </c>
      <c r="L10" s="9" t="str">
        <f aca="false">IF(L9&gt;=10,"Si","No")</f>
        <v>Si</v>
      </c>
      <c r="M10" s="9" t="str">
        <f aca="false">IF(M9&gt;=10,"Si","No")</f>
        <v>Si</v>
      </c>
      <c r="N10" s="9" t="str">
        <f aca="false">IF(N9&gt;=10,"Si","No")</f>
        <v>Si</v>
      </c>
    </row>
    <row r="11" customFormat="false" ht="15" hidden="false" customHeight="true" outlineLevel="0" collapsed="false">
      <c r="A11" s="6"/>
      <c r="B11" s="6"/>
      <c r="C11" s="8" t="s">
        <v>19</v>
      </c>
      <c r="D11" s="10" t="n">
        <v>80</v>
      </c>
      <c r="E11" s="10" t="n">
        <v>100</v>
      </c>
      <c r="F11" s="10" t="n">
        <v>100</v>
      </c>
      <c r="G11" s="10" t="n">
        <v>105</v>
      </c>
      <c r="H11" s="10" t="n">
        <v>104</v>
      </c>
      <c r="I11" s="10" t="n">
        <v>106</v>
      </c>
      <c r="J11" s="10" t="n">
        <v>104</v>
      </c>
      <c r="K11" s="10" t="n">
        <v>104</v>
      </c>
      <c r="L11" s="10" t="n">
        <v>104.25</v>
      </c>
      <c r="M11" s="10" t="n">
        <v>104.125</v>
      </c>
      <c r="N11" s="10" t="n">
        <v>104.167</v>
      </c>
    </row>
    <row r="12" customFormat="false" ht="15" hidden="false" customHeight="true" outlineLevel="0" collapsed="false">
      <c r="A12" s="6"/>
      <c r="B12" s="6"/>
      <c r="C12" s="8" t="s">
        <v>20</v>
      </c>
      <c r="D12" s="7" t="n">
        <f aca="false">IFERROR((D11-$B$9)/$B$9*100,"N/A")</f>
        <v>-23.2</v>
      </c>
      <c r="E12" s="7" t="n">
        <f aca="false">IFERROR((E11-$B$9)/$B$9*100,"N/A")</f>
        <v>-4</v>
      </c>
      <c r="F12" s="7" t="n">
        <f aca="false">IFERROR((F11-$B$9)/$B$9*100,"N/A")</f>
        <v>-4</v>
      </c>
      <c r="G12" s="7" t="n">
        <f aca="false">IFERROR((G11-$B$9)/$B$9*100,"N/A")</f>
        <v>0.799999999999995</v>
      </c>
      <c r="H12" s="7" t="n">
        <f aca="false">IFERROR((H11-$B$9)/$B$9*100,"N/A")</f>
        <v>-0.160000000000005</v>
      </c>
      <c r="I12" s="7" t="n">
        <f aca="false">IFERROR((I11-$B$9)/$B$9*100,"N/A")</f>
        <v>1.76</v>
      </c>
      <c r="J12" s="7" t="n">
        <f aca="false">IFERROR((J11-$B$9)/$B$9*100,"N/A")</f>
        <v>-0.160000000000005</v>
      </c>
      <c r="K12" s="7" t="n">
        <f aca="false">IFERROR((K11-$B$9)/$B$9*100,"N/A")</f>
        <v>-0.160000000000005</v>
      </c>
      <c r="L12" s="7" t="n">
        <f aca="false">IFERROR((L11-$B$9)/$B$9*100,"N/A")</f>
        <v>0.0799999999999955</v>
      </c>
      <c r="M12" s="7" t="n">
        <f aca="false">IFERROR((M11-$B$9)/$B$9*100,"N/A")</f>
        <v>-0.0400000000000045</v>
      </c>
      <c r="N12" s="7" t="n">
        <f aca="false">IFERROR((N11-$B$9)/$B$9*100,"N/A")</f>
        <v>0.00031999999999698</v>
      </c>
    </row>
    <row r="13" customFormat="false" ht="15" hidden="false" customHeight="true" outlineLevel="0" collapsed="false">
      <c r="A13" s="6" t="n">
        <v>57600</v>
      </c>
      <c r="B13" s="7" t="n">
        <f aca="false">1000000/A13</f>
        <v>17.3611111111111</v>
      </c>
      <c r="C13" s="8" t="s">
        <v>17</v>
      </c>
      <c r="D13" s="7" t="n">
        <f aca="false">D$3/$A13</f>
        <v>0.434027777777778</v>
      </c>
      <c r="E13" s="7" t="n">
        <f aca="false">E$3/$A13</f>
        <v>0.868055555555556</v>
      </c>
      <c r="F13" s="7" t="n">
        <f aca="false">F$3/$A13</f>
        <v>1.73611111111111</v>
      </c>
      <c r="G13" s="7" t="n">
        <f aca="false">G$3/$A13</f>
        <v>3.47222222222222</v>
      </c>
      <c r="H13" s="7" t="n">
        <f aca="false">H$3/$A13</f>
        <v>4.34027777777778</v>
      </c>
      <c r="I13" s="7" t="n">
        <f aca="false">I$3/$A13</f>
        <v>8.68055555555556</v>
      </c>
      <c r="J13" s="7" t="n">
        <f aca="false">J$3/$A13</f>
        <v>17.3611111111111</v>
      </c>
      <c r="K13" s="7" t="n">
        <f aca="false">K$3/$A13</f>
        <v>34.7222222222222</v>
      </c>
      <c r="L13" s="7" t="n">
        <f aca="false">L$3/$A13</f>
        <v>69.4444444444444</v>
      </c>
      <c r="M13" s="7" t="n">
        <f aca="false">M$3/$A13</f>
        <v>138.888888888889</v>
      </c>
      <c r="N13" s="7" t="n">
        <f aca="false">N$3/$A13</f>
        <v>208.333333333333</v>
      </c>
    </row>
    <row r="14" customFormat="false" ht="15" hidden="false" customHeight="true" outlineLevel="0" collapsed="false">
      <c r="A14" s="6"/>
      <c r="B14" s="6"/>
      <c r="C14" s="8" t="s">
        <v>18</v>
      </c>
      <c r="D14" s="9" t="str">
        <f aca="false">IF(D13&gt;=10,"Si","No")</f>
        <v>No</v>
      </c>
      <c r="E14" s="9" t="str">
        <f aca="false">IF(E13&gt;=10,"Si","No")</f>
        <v>No</v>
      </c>
      <c r="F14" s="9" t="str">
        <f aca="false">IF(F13&gt;=10,"Si","No")</f>
        <v>No</v>
      </c>
      <c r="G14" s="9" t="str">
        <f aca="false">IF(G13&gt;=10,"Si","No")</f>
        <v>No</v>
      </c>
      <c r="H14" s="9" t="str">
        <f aca="false">IF(H13&gt;=10,"Si","No")</f>
        <v>No</v>
      </c>
      <c r="I14" s="9" t="str">
        <f aca="false">IF(I13&gt;=10,"Si","No")</f>
        <v>No</v>
      </c>
      <c r="J14" s="9" t="str">
        <f aca="false">IF(J13&gt;=10,"Si","No")</f>
        <v>Si</v>
      </c>
      <c r="K14" s="9" t="str">
        <f aca="false">IF(K13&gt;=10,"Si","No")</f>
        <v>Si</v>
      </c>
      <c r="L14" s="9" t="str">
        <f aca="false">IF(L13&gt;=10,"Si","No")</f>
        <v>Si</v>
      </c>
      <c r="M14" s="9" t="str">
        <f aca="false">IF(M13&gt;=10,"Si","No")</f>
        <v>Si</v>
      </c>
      <c r="N14" s="9" t="str">
        <f aca="false">IF(N13&gt;=10,"Si","No")</f>
        <v>Si</v>
      </c>
    </row>
    <row r="15" customFormat="false" ht="15" hidden="false" customHeight="true" outlineLevel="0" collapsed="false">
      <c r="A15" s="6"/>
      <c r="B15" s="6"/>
      <c r="C15" s="8" t="s">
        <v>19</v>
      </c>
      <c r="D15" s="10" t="n">
        <v>40</v>
      </c>
      <c r="E15" s="10" t="n">
        <v>20</v>
      </c>
      <c r="F15" s="10" t="n">
        <v>10</v>
      </c>
      <c r="G15" s="10" t="n">
        <v>15</v>
      </c>
      <c r="H15" s="10" t="n">
        <v>16</v>
      </c>
      <c r="I15" s="10" t="n">
        <v>18</v>
      </c>
      <c r="J15" s="10" t="n">
        <v>18</v>
      </c>
      <c r="K15" s="10" t="n">
        <v>17.5</v>
      </c>
      <c r="L15" s="10" t="n">
        <v>17.5</v>
      </c>
      <c r="M15" s="10" t="n">
        <v>17.375</v>
      </c>
      <c r="N15" s="10" t="n">
        <v>17.333</v>
      </c>
    </row>
    <row r="16" customFormat="false" ht="15" hidden="false" customHeight="true" outlineLevel="0" collapsed="false">
      <c r="A16" s="6"/>
      <c r="B16" s="6"/>
      <c r="C16" s="8" t="s">
        <v>20</v>
      </c>
      <c r="D16" s="7" t="n">
        <f aca="false">IFERROR((D15-$B$13)/$B$13*100,"N/A")</f>
        <v>130.4</v>
      </c>
      <c r="E16" s="7" t="n">
        <f aca="false">IFERROR((E15-$B$13)/$B$13*100,"N/A")</f>
        <v>15.2</v>
      </c>
      <c r="F16" s="7" t="n">
        <f aca="false">IFERROR((F15-$B$13)/$B$13*100,"N/A")</f>
        <v>-42.4</v>
      </c>
      <c r="G16" s="7" t="n">
        <f aca="false">IFERROR((G15-$B$13)/$B$13*100,"N/A")</f>
        <v>-13.6</v>
      </c>
      <c r="H16" s="7" t="n">
        <f aca="false">IFERROR((H15-$B$13)/$B$13*100,"N/A")</f>
        <v>-7.84</v>
      </c>
      <c r="I16" s="7" t="n">
        <f aca="false">IFERROR((I15-$B$13)/$B$13*100,"N/A")</f>
        <v>3.68</v>
      </c>
      <c r="J16" s="7" t="n">
        <f aca="false">IFERROR((J15-$B$13)/$B$13*100,"N/A")</f>
        <v>3.68</v>
      </c>
      <c r="K16" s="7" t="n">
        <f aca="false">IFERROR((K15-$B$13)/$B$13*100,"N/A")</f>
        <v>0.800000000000002</v>
      </c>
      <c r="L16" s="7" t="n">
        <f aca="false">IFERROR((L15-$B$13)/$B$13*100,"N/A")</f>
        <v>0.800000000000002</v>
      </c>
      <c r="M16" s="7" t="n">
        <f aca="false">IFERROR((M15-$B$13)/$B$13*100,"N/A")</f>
        <v>0.0800000000000023</v>
      </c>
      <c r="N16" s="7" t="n">
        <f aca="false">IFERROR((N15-$B$13)/$B$13*100,"N/A")</f>
        <v>-0.161920000000007</v>
      </c>
    </row>
    <row r="17" customFormat="false" ht="15" hidden="false" customHeight="true" outlineLevel="0" collapsed="false">
      <c r="A17" s="6" t="n">
        <v>115200</v>
      </c>
      <c r="B17" s="7" t="n">
        <f aca="false">1000000/A17</f>
        <v>8.68055555555556</v>
      </c>
      <c r="C17" s="8" t="s">
        <v>17</v>
      </c>
      <c r="D17" s="7" t="n">
        <f aca="false">D$3/$A17</f>
        <v>0.217013888888889</v>
      </c>
      <c r="E17" s="7" t="n">
        <f aca="false">E$3/$A17</f>
        <v>0.434027777777778</v>
      </c>
      <c r="F17" s="7" t="n">
        <f aca="false">F$3/$A17</f>
        <v>0.868055555555556</v>
      </c>
      <c r="G17" s="7" t="n">
        <f aca="false">G$3/$A17</f>
        <v>1.73611111111111</v>
      </c>
      <c r="H17" s="7" t="n">
        <f aca="false">H$3/$A17</f>
        <v>2.17013888888889</v>
      </c>
      <c r="I17" s="7" t="n">
        <f aca="false">I$3/$A17</f>
        <v>4.34027777777778</v>
      </c>
      <c r="J17" s="7" t="n">
        <f aca="false">J$3/$A17</f>
        <v>8.68055555555556</v>
      </c>
      <c r="K17" s="7" t="n">
        <f aca="false">K$3/$A17</f>
        <v>17.3611111111111</v>
      </c>
      <c r="L17" s="7" t="n">
        <f aca="false">L$3/$A17</f>
        <v>34.7222222222222</v>
      </c>
      <c r="M17" s="7" t="n">
        <f aca="false">M$3/$A17</f>
        <v>69.4444444444444</v>
      </c>
      <c r="N17" s="7" t="n">
        <f aca="false">N$3/$A17</f>
        <v>104.166666666667</v>
      </c>
    </row>
    <row r="18" customFormat="false" ht="15" hidden="false" customHeight="true" outlineLevel="0" collapsed="false">
      <c r="A18" s="6"/>
      <c r="B18" s="6"/>
      <c r="C18" s="8" t="s">
        <v>18</v>
      </c>
      <c r="D18" s="9" t="str">
        <f aca="false">IF(D17&gt;=10,"Si","No")</f>
        <v>No</v>
      </c>
      <c r="E18" s="9" t="str">
        <f aca="false">IF(E17&gt;=10,"Si","No")</f>
        <v>No</v>
      </c>
      <c r="F18" s="9" t="str">
        <f aca="false">IF(F17&gt;=10,"Si","No")</f>
        <v>No</v>
      </c>
      <c r="G18" s="9" t="str">
        <f aca="false">IF(G17&gt;=10,"Si","No")</f>
        <v>No</v>
      </c>
      <c r="H18" s="9" t="str">
        <f aca="false">IF(H17&gt;=10,"Si","No")</f>
        <v>No</v>
      </c>
      <c r="I18" s="9" t="str">
        <f aca="false">IF(I17&gt;=10,"Si","No")</f>
        <v>No</v>
      </c>
      <c r="J18" s="9" t="str">
        <f aca="false">IF(J17&gt;=10,"Si","No")</f>
        <v>No</v>
      </c>
      <c r="K18" s="9" t="str">
        <f aca="false">IF(K17&gt;=10,"Si","No")</f>
        <v>Si</v>
      </c>
      <c r="L18" s="9" t="str">
        <f aca="false">IF(L17&gt;=10,"Si","No")</f>
        <v>Si</v>
      </c>
      <c r="M18" s="9" t="str">
        <f aca="false">IF(M17&gt;=10,"Si","No")</f>
        <v>Si</v>
      </c>
      <c r="N18" s="9" t="str">
        <f aca="false">IF(N17&gt;=10,"Si","No")</f>
        <v>Si</v>
      </c>
    </row>
    <row r="19" customFormat="false" ht="15" hidden="false" customHeight="true" outlineLevel="0" collapsed="false">
      <c r="A19" s="6"/>
      <c r="B19" s="6"/>
      <c r="C19" s="8" t="s">
        <v>19</v>
      </c>
      <c r="D19" s="9" t="s">
        <v>21</v>
      </c>
      <c r="E19" s="10" t="n">
        <v>40</v>
      </c>
      <c r="F19" s="10" t="n">
        <v>10</v>
      </c>
      <c r="G19" s="10" t="n">
        <v>10</v>
      </c>
      <c r="H19" s="10" t="n">
        <v>12</v>
      </c>
      <c r="I19" s="10" t="n">
        <v>10</v>
      </c>
      <c r="J19" s="10" t="n">
        <v>9</v>
      </c>
      <c r="K19" s="10" t="n">
        <v>8.5</v>
      </c>
      <c r="L19" s="10" t="n">
        <v>8.5</v>
      </c>
      <c r="M19" s="10" t="n">
        <v>8.75</v>
      </c>
      <c r="N19" s="10" t="n">
        <v>8.667</v>
      </c>
    </row>
    <row r="20" customFormat="false" ht="15" hidden="false" customHeight="true" outlineLevel="0" collapsed="false">
      <c r="A20" s="6"/>
      <c r="B20" s="6"/>
      <c r="C20" s="8" t="s">
        <v>20</v>
      </c>
      <c r="D20" s="7" t="str">
        <f aca="false">IFERROR((D19-$B$17)/$B$17*100,"N/A")</f>
        <v>N/A</v>
      </c>
      <c r="E20" s="7" t="n">
        <f aca="false">IFERROR((E19-$B$17)/$B$17*100,"N/A")</f>
        <v>360.8</v>
      </c>
      <c r="F20" s="7" t="n">
        <f aca="false">IFERROR((F19-$B$17)/$B$17*100,"N/A")</f>
        <v>15.2</v>
      </c>
      <c r="G20" s="7" t="n">
        <f aca="false">IFERROR((G19-$B$17)/$B$17*100,"N/A")</f>
        <v>15.2</v>
      </c>
      <c r="H20" s="7" t="n">
        <f aca="false">IFERROR((H19-$B$17)/$B$17*100,"N/A")</f>
        <v>38.24</v>
      </c>
      <c r="I20" s="7" t="n">
        <f aca="false">IFERROR((I19-$B$17)/$B$17*100,"N/A")</f>
        <v>15.2</v>
      </c>
      <c r="J20" s="7" t="n">
        <f aca="false">IFERROR((J19-$B$17)/$B$17*100,"N/A")</f>
        <v>3.68</v>
      </c>
      <c r="K20" s="7" t="n">
        <f aca="false">IFERROR((K19-$B$17)/$B$17*100,"N/A")</f>
        <v>-2.08</v>
      </c>
      <c r="L20" s="7" t="n">
        <f aca="false">IFERROR((L19-$B$17)/$B$17*100,"N/A")</f>
        <v>-2.08</v>
      </c>
      <c r="M20" s="7" t="n">
        <f aca="false">IFERROR((M19-$B$17)/$B$17*100,"N/A")</f>
        <v>0.800000000000002</v>
      </c>
      <c r="N20" s="7" t="n">
        <f aca="false">IFERROR((N19-$B$17)/$B$17*100,"N/A")</f>
        <v>-0.15616</v>
      </c>
    </row>
    <row r="22" customFormat="false" ht="15" hidden="false" customHeight="true" outlineLevel="0" collapsed="false">
      <c r="A22" s="11" t="s">
        <v>22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customFormat="false" ht="15" hidden="false" customHeight="true" outlineLevel="0" collapsed="false">
      <c r="A23" s="12" t="s">
        <v>23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customFormat="false" ht="15" hidden="false" customHeight="true" outlineLevel="0" collapsed="false">
      <c r="A24" s="12" t="s">
        <v>24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customFormat="false" ht="15" hidden="false" customHeight="true" outlineLevel="0" collapsed="false">
      <c r="A25" s="12" t="s">
        <v>25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customFormat="false" ht="15" hidden="false" customHeight="true" outlineLevel="0" collapsed="false">
      <c r="A26" s="12" t="s">
        <v>26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customFormat="false" ht="15" hidden="false" customHeight="true" outlineLevel="0" collapsed="false">
      <c r="A27" s="12" t="s">
        <v>27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customFormat="false" ht="15" hidden="false" customHeight="true" outlineLevel="0" collapsed="false">
      <c r="A28" s="12" t="s">
        <v>28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30" customFormat="false" ht="45" hidden="false" customHeight="true" outlineLevel="0" collapsed="false">
      <c r="A30" s="13" t="s">
        <v>29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</sheetData>
  <mergeCells count="18">
    <mergeCell ref="A1:N1"/>
    <mergeCell ref="A2:N2"/>
    <mergeCell ref="A5:A8"/>
    <mergeCell ref="B5:B8"/>
    <mergeCell ref="A9:A12"/>
    <mergeCell ref="B9:B12"/>
    <mergeCell ref="A13:A16"/>
    <mergeCell ref="B13:B16"/>
    <mergeCell ref="A17:A20"/>
    <mergeCell ref="B17:B20"/>
    <mergeCell ref="A22:N22"/>
    <mergeCell ref="A23:N23"/>
    <mergeCell ref="A24:N24"/>
    <mergeCell ref="A25:N25"/>
    <mergeCell ref="A26:N26"/>
    <mergeCell ref="A27:N27"/>
    <mergeCell ref="A28:N28"/>
    <mergeCell ref="A30:N3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2026-08-25T03:44:00Z</dcterms:created>
  <dc:creator>openpyxl</dc:creator>
  <dc:description/>
  <dc:language>en-US</dc:language>
  <cp:lastModifiedBy/>
  <dcterms:modified xsi:type="dcterms:W3CDTF">2026-08-25T03:44:24Z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